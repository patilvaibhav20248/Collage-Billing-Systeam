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3"/>
  </bookViews>
  <sheets>
    <sheet name="practical Examiner &amp; staff" sheetId="1" r:id="rId1"/>
    <sheet name="practical examiner TA DA" sheetId="2" r:id="rId2"/>
    <sheet name="commonlist " sheetId="3" r:id="rId3"/>
    <sheet name="bank Details " sheetId="4" r:id="rId4"/>
  </sheets>
  <definedNames>
    <definedName name="_xlnm.Print_Area" localSheetId="3">'bank Details 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<sst xmlns="http://schemas.openxmlformats.org/spreadsheetml/2006/main" count="223" uniqueCount="71">
  <si>
    <t xml:space="preserve"> D.E.Society's, Willingdon College, Sangli</t>
  </si>
  <si>
    <t xml:space="preserve">Autonomous College Thoery Examination March 2025 </t>
  </si>
  <si>
    <t>(B.A., B.Sc.., BCS, B.Sc. IT Part I, M.A., M.Sc. Part I)</t>
  </si>
  <si>
    <t>Practical Examiners Rem. Bill (Viva) (A.3.P.25) :</t>
  </si>
  <si>
    <t>Cousrs :- B.Sc. I.T. (Entire) (Computer C Programing)</t>
  </si>
  <si>
    <t>NO.</t>
  </si>
  <si>
    <t>Name of Internal /External Examiner/Expert/Lab.Assistant/    Lab.Attendent</t>
  </si>
  <si>
    <t>Designation</t>
  </si>
  <si>
    <t>Practical/ Viva Date</t>
  </si>
  <si>
    <t>Actual Day Working</t>
  </si>
  <si>
    <t>Class</t>
  </si>
  <si>
    <t>No of Students</t>
  </si>
  <si>
    <t>Rate Per student/ Days</t>
  </si>
  <si>
    <t>Examiner Bill</t>
  </si>
  <si>
    <t>Total Bill Amt Rs.</t>
  </si>
  <si>
    <t>Meghana B Bansode</t>
  </si>
  <si>
    <t>External Examiner</t>
  </si>
  <si>
    <t>09-10-2025 to 10-10-2025</t>
  </si>
  <si>
    <t>02 days</t>
  </si>
  <si>
    <t>Practical</t>
  </si>
  <si>
    <t>Examing 14x56x1=784</t>
  </si>
  <si>
    <t xml:space="preserve">Kumbharkar Rohit B. </t>
  </si>
  <si>
    <t>Internal  Examiner</t>
  </si>
  <si>
    <t>09-10-2025 to 10-10-2026</t>
  </si>
  <si>
    <t>Ankita Shinde</t>
  </si>
  <si>
    <t>Expert</t>
  </si>
  <si>
    <t>08-10-2025 to 11-10-2027</t>
  </si>
  <si>
    <t>04 days</t>
  </si>
  <si>
    <t>Days : 4 x56</t>
  </si>
  <si>
    <t xml:space="preserve">Aidale Pradip Tammanna </t>
  </si>
  <si>
    <t>Lab. Attendent</t>
  </si>
  <si>
    <t>03 days</t>
  </si>
  <si>
    <t>Days : 3x 21</t>
  </si>
  <si>
    <t xml:space="preserve">Suryanwanshi Jayant  </t>
  </si>
  <si>
    <t>Total</t>
  </si>
  <si>
    <t xml:space="preserve"> D.E.Society's, Willingdon College, Sangli (Autonomous)</t>
  </si>
  <si>
    <t xml:space="preserve">Autonomous Thoery Examination March 2025 </t>
  </si>
  <si>
    <t>(B.A., B.Sc.., BCS, B.Sc. IT Part I , M.A., M.Sc. Part I )</t>
  </si>
  <si>
    <t>Practical Examiners TA/DA (A.3.P.29) :</t>
  </si>
  <si>
    <t xml:space="preserve">Course : B.Sc. I.T. (Entire) </t>
  </si>
  <si>
    <t>Name of External Examiner</t>
  </si>
  <si>
    <t>Name of the College</t>
  </si>
  <si>
    <t>Details of TA</t>
  </si>
  <si>
    <t>TA</t>
  </si>
  <si>
    <t>Auto</t>
  </si>
  <si>
    <t>DA</t>
  </si>
  <si>
    <t>Loknete Prof. Shared Patil Mahavidyalaya Miraj</t>
  </si>
  <si>
    <t>08-10-2025 to 10-10-2025</t>
  </si>
  <si>
    <t xml:space="preserve"> B.Sc. I.T. (Entire) </t>
  </si>
  <si>
    <t>Local Conveyance for 3  days :  90X3</t>
  </si>
  <si>
    <t>Name of  Staff</t>
  </si>
  <si>
    <t>Amount</t>
  </si>
  <si>
    <t>Account No.</t>
  </si>
  <si>
    <t>Bank</t>
  </si>
  <si>
    <t>IFSC code</t>
  </si>
  <si>
    <t>B.Sc. I.T. (Entire) (Computer)</t>
  </si>
  <si>
    <t>InternalExaminer</t>
  </si>
  <si>
    <t>Pradip Tammanna Aidale</t>
  </si>
  <si>
    <t xml:space="preserve">Jayant Suryanwanshi </t>
  </si>
  <si>
    <t>TA /DA External Examination</t>
  </si>
  <si>
    <t>HDFC Bank</t>
  </si>
  <si>
    <t>HDFC0000222</t>
  </si>
  <si>
    <t>Bank Of India</t>
  </si>
  <si>
    <t>BKID0001506</t>
  </si>
  <si>
    <t>Bank Of Maharashtra</t>
  </si>
  <si>
    <t>MAHB0000235</t>
  </si>
  <si>
    <t>HDFC0002148</t>
  </si>
  <si>
    <t>Internal Examiner</t>
  </si>
  <si>
    <t>Lab. Staff</t>
  </si>
  <si>
    <t xml:space="preserve">Practical Paper Setting </t>
  </si>
  <si>
    <t xml:space="preserve">External Examiner TA DA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</si>
</sst>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0;[Red]0"/>
    <numFmt numFmtId="182" formatCode="dd/mm/yyyy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7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130">
    <xf numFmtId="0" fontId="0" fillId="0" borderId="0" xfId="0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right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1" fontId="2" fillId="0" borderId="0" xfId="0" applyNumberFormat="1" applyFont="1"/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right"/>
    </xf>
    <xf numFmtId="0" fontId="0" fillId="0" borderId="1" xfId="0" applyFont="1" applyFill="1" applyBorder="1"/>
    <xf numFmtId="0" fontId="3" fillId="0" borderId="0" xfId="0" applyFont="1"/>
    <xf numFmtId="0" fontId="1" fillId="0" borderId="1" xfId="0" applyFont="1" applyFill="1" applyBorder="1" applyAlignment="1">
      <alignment horizontal="left"/>
    </xf>
    <xf numFmtId="180" fontId="1" fillId="0" borderId="1" xfId="0" applyNumberFormat="1" applyFont="1" applyFill="1" applyBorder="1" applyAlignment="1">
      <alignment horizontal="right"/>
    </xf>
    <xf numFmtId="180" fontId="0" fillId="0" borderId="1" xfId="1" applyNumberFormat="1" applyFont="1" applyFill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80" fontId="4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/>
    <xf numFmtId="0" fontId="5" fillId="0" borderId="1" xfId="0" applyFont="1" applyBorder="1" applyAlignment="1">
      <alignment vertical="top"/>
    </xf>
    <xf numFmtId="0" fontId="3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0" fillId="2" borderId="0" xfId="0" applyFont="1" applyFill="1"/>
    <xf numFmtId="180" fontId="3" fillId="3" borderId="0" xfId="0" applyNumberFormat="1" applyFont="1" applyFill="1"/>
    <xf numFmtId="0" fontId="3" fillId="3" borderId="0" xfId="0" applyFont="1" applyFill="1"/>
    <xf numFmtId="0" fontId="0" fillId="0" borderId="0" xfId="0" applyAlignment="1">
      <alignment horizontal="right"/>
    </xf>
    <xf numFmtId="0" fontId="3" fillId="0" borderId="0" xfId="0" applyFont="1" applyFill="1" applyAlignment="1">
      <alignment horizontal="right"/>
    </xf>
    <xf numFmtId="0" fontId="0" fillId="0" borderId="0" xfId="0" applyFont="1" applyFill="1" applyAlignment="1">
      <alignment vertical="top"/>
    </xf>
    <xf numFmtId="0" fontId="1" fillId="0" borderId="1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ont="1" applyFill="1" applyBorder="1" applyAlignment="1">
      <alignment horizontal="left" vertical="center" wrapText="1"/>
    </xf>
    <xf numFmtId="180" fontId="0" fillId="0" borderId="0" xfId="1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/>
    <xf numFmtId="0" fontId="0" fillId="0" borderId="1" xfId="0" applyFont="1" applyBorder="1" applyAlignment="1"/>
    <xf numFmtId="0" fontId="0" fillId="0" borderId="0" xfId="0" applyAlignme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8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0" fontId="4" fillId="0" borderId="0" xfId="1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18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80" fontId="4" fillId="0" borderId="1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80" fontId="12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182" fontId="14" fillId="0" borderId="1" xfId="0" applyNumberFormat="1" applyFont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80" fontId="1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B14" sqref="B14:B15"/>
    </sheetView>
  </sheetViews>
  <sheetFormatPr defaultColWidth="9" defaultRowHeight="14.4"/>
  <cols>
    <col min="1" max="1" width="4.42592592592593" style="113" customWidth="1"/>
    <col min="2" max="2" width="32.4259259259259" style="112" customWidth="1"/>
    <col min="3" max="3" width="26.287037037037" style="112" customWidth="1"/>
    <col min="4" max="4" width="29.287037037037" style="113" customWidth="1"/>
    <col min="5" max="5" width="23" style="113" customWidth="1"/>
    <col min="6" max="6" width="12" style="112" customWidth="1"/>
    <col min="7" max="7" width="8.28703703703704" style="113" customWidth="1"/>
    <col min="8" max="8" width="12.1388888888889" style="113" customWidth="1"/>
    <col min="9" max="9" width="23.5740740740741" style="113" customWidth="1"/>
    <col min="10" max="10" width="10.1388888888889" style="113" customWidth="1"/>
    <col min="11" max="16384" width="9.13888888888889" style="113"/>
  </cols>
  <sheetData>
    <row r="1" spans="1:12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2">
      <c r="A2" s="115" t="s">
        <v>1</v>
      </c>
      <c r="B2" s="115"/>
      <c r="C2" s="115"/>
      <c r="D2" s="115"/>
      <c r="E2" s="115"/>
      <c r="F2" s="115"/>
      <c r="G2" s="115"/>
      <c r="H2" s="115"/>
      <c r="I2" s="115"/>
      <c r="J2" s="115"/>
    </row>
    <row r="3" spans="1:12">
      <c r="A3" s="114" t="s">
        <v>2</v>
      </c>
      <c r="B3" s="114"/>
      <c r="C3" s="114"/>
      <c r="D3" s="114"/>
      <c r="E3" s="114"/>
      <c r="F3" s="114"/>
      <c r="G3" s="114"/>
      <c r="H3" s="114"/>
      <c r="I3" s="114"/>
      <c r="J3" s="114"/>
    </row>
    <row r="4" ht="18.75" customHeight="1" spans="1:12">
      <c r="A4" s="116"/>
      <c r="B4" s="117"/>
      <c r="C4" s="117"/>
    </row>
    <row r="5" s="112" customFormat="1" spans="1:12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</row>
    <row r="6" s="112" customFormat="1" spans="1:12">
      <c r="A6" s="118"/>
      <c r="B6" s="118"/>
      <c r="C6" s="118"/>
      <c r="D6" s="118"/>
      <c r="E6" s="118"/>
      <c r="F6" s="118"/>
      <c r="G6" s="118"/>
      <c r="H6" s="118"/>
      <c r="I6" s="118"/>
      <c r="J6" s="118"/>
    </row>
    <row r="8" spans="1:12">
      <c r="A8" s="117" t="s">
        <v>4</v>
      </c>
      <c r="D8" s="119"/>
      <c r="E8" s="119"/>
      <c r="G8" s="119"/>
      <c r="H8" s="119"/>
      <c r="I8" s="119"/>
      <c r="J8" s="119"/>
    </row>
    <row r="9" spans="1:12">
      <c r="A9" s="117"/>
      <c r="D9" s="119"/>
      <c r="E9" s="119"/>
      <c r="G9" s="119"/>
      <c r="H9" s="119"/>
      <c r="I9" s="119"/>
      <c r="J9" s="119"/>
    </row>
    <row r="10" ht="43.2" spans="1:12">
      <c r="A10" s="120" t="s">
        <v>5</v>
      </c>
      <c r="B10" s="121" t="s">
        <v>6</v>
      </c>
      <c r="C10" s="121" t="s">
        <v>7</v>
      </c>
      <c r="D10" s="122" t="s">
        <v>8</v>
      </c>
      <c r="E10" s="122" t="s">
        <v>9</v>
      </c>
      <c r="F10" s="121" t="s">
        <v>10</v>
      </c>
      <c r="G10" s="122" t="s">
        <v>11</v>
      </c>
      <c r="H10" s="122" t="s">
        <v>12</v>
      </c>
      <c r="I10" s="122" t="s">
        <v>13</v>
      </c>
      <c r="J10" s="122" t="s">
        <v>14</v>
      </c>
    </row>
    <row r="11" ht="15.6" spans="1:12">
      <c r="A11" s="123">
        <v>1</v>
      </c>
      <c r="B11" s="24" t="s">
        <v>15</v>
      </c>
      <c r="C11" s="124" t="s">
        <v>16</v>
      </c>
      <c r="D11" s="125" t="s">
        <v>17</v>
      </c>
      <c r="E11" s="126" t="s">
        <v>18</v>
      </c>
      <c r="F11" s="124" t="s">
        <v>19</v>
      </c>
      <c r="G11" s="123">
        <v>59</v>
      </c>
      <c r="H11" s="123">
        <v>14</v>
      </c>
      <c r="I11" s="127" t="s">
        <v>20</v>
      </c>
      <c r="J11" s="42">
        <f>H11*G11</f>
        <v>826</v>
      </c>
    </row>
    <row r="12" ht="15.6" spans="1:12">
      <c r="A12" s="123">
        <v>2</v>
      </c>
      <c r="B12" s="24" t="s">
        <v>21</v>
      </c>
      <c r="C12" s="124" t="s">
        <v>22</v>
      </c>
      <c r="D12" s="125" t="s">
        <v>23</v>
      </c>
      <c r="E12" s="126" t="s">
        <v>18</v>
      </c>
      <c r="F12" s="124" t="s">
        <v>19</v>
      </c>
      <c r="G12" s="123">
        <v>59</v>
      </c>
      <c r="H12" s="123">
        <v>14</v>
      </c>
      <c r="I12" s="127" t="s">
        <v>20</v>
      </c>
      <c r="J12" s="42">
        <f>H12*G12</f>
        <v>826</v>
      </c>
    </row>
    <row r="13" ht="15.6" spans="1:12">
      <c r="A13" s="123">
        <v>3</v>
      </c>
      <c r="B13" s="24" t="s">
        <v>24</v>
      </c>
      <c r="C13" s="124" t="s">
        <v>25</v>
      </c>
      <c r="D13" s="125" t="s">
        <v>26</v>
      </c>
      <c r="E13" s="126" t="s">
        <v>27</v>
      </c>
      <c r="F13" s="124" t="s">
        <v>19</v>
      </c>
      <c r="G13" s="123"/>
      <c r="H13" s="123">
        <v>56</v>
      </c>
      <c r="I13" s="127" t="s">
        <v>28</v>
      </c>
      <c r="J13" s="42">
        <v>224</v>
      </c>
    </row>
    <row r="14" ht="15.6" spans="1:12">
      <c r="A14" s="123">
        <v>5</v>
      </c>
      <c r="B14" s="24" t="s">
        <v>29</v>
      </c>
      <c r="C14" s="124" t="s">
        <v>30</v>
      </c>
      <c r="D14" s="125" t="s">
        <v>26</v>
      </c>
      <c r="E14" s="126" t="s">
        <v>31</v>
      </c>
      <c r="F14" s="124" t="s">
        <v>19</v>
      </c>
      <c r="G14" s="123"/>
      <c r="H14" s="123">
        <v>21</v>
      </c>
      <c r="I14" s="127" t="s">
        <v>32</v>
      </c>
      <c r="J14" s="42">
        <v>63</v>
      </c>
      <c r="L14" s="113">
        <f>308+784+784</f>
        <v>1876</v>
      </c>
    </row>
    <row r="15" ht="15.6" spans="1:12">
      <c r="A15" s="123">
        <v>6</v>
      </c>
      <c r="B15" s="24" t="s">
        <v>33</v>
      </c>
      <c r="C15" s="124" t="s">
        <v>30</v>
      </c>
      <c r="D15" s="125" t="s">
        <v>26</v>
      </c>
      <c r="E15" s="126" t="s">
        <v>31</v>
      </c>
      <c r="F15" s="124" t="s">
        <v>19</v>
      </c>
      <c r="G15" s="123"/>
      <c r="H15" s="123">
        <v>21</v>
      </c>
      <c r="I15" s="127" t="s">
        <v>32</v>
      </c>
      <c r="J15" s="42">
        <v>63</v>
      </c>
    </row>
    <row r="16" spans="1:12">
      <c r="A16" s="49"/>
      <c r="B16" s="56"/>
      <c r="C16" s="56"/>
      <c r="D16" s="49"/>
      <c r="E16" s="49"/>
      <c r="F16" s="128" t="s">
        <v>34</v>
      </c>
      <c r="G16" s="49"/>
      <c r="H16" s="49"/>
      <c r="I16" s="49"/>
      <c r="J16" s="129">
        <f>SUM(J11:J15)</f>
        <v>2002</v>
      </c>
    </row>
  </sheetData>
  <mergeCells count="4">
    <mergeCell ref="A1:J1"/>
    <mergeCell ref="A2:J2"/>
    <mergeCell ref="A3:J3"/>
    <mergeCell ref="A5:J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opLeftCell="A4" workbookViewId="0">
      <selection activeCell="G22" sqref="G22"/>
    </sheetView>
  </sheetViews>
  <sheetFormatPr defaultColWidth="9" defaultRowHeight="14.4"/>
  <cols>
    <col min="1" max="1" width="5.57407407407407" customWidth="1"/>
    <col min="2" max="2" width="31.5740740740741" style="39" customWidth="1"/>
    <col min="3" max="3" width="10.287037037037" style="39" customWidth="1"/>
    <col min="4" max="5" width="22.1388888888889" style="39" customWidth="1"/>
    <col min="6" max="6" width="27.5740740740741" style="76" customWidth="1"/>
    <col min="7" max="7" width="29.4259259259259" style="61" customWidth="1"/>
    <col min="8" max="8" width="6.57407407407407" customWidth="1"/>
    <col min="9" max="9" width="4.85185185185185" customWidth="1"/>
    <col min="10" max="10" width="5" customWidth="1"/>
    <col min="11" max="11" width="8.13888888888889" customWidth="1"/>
    <col min="12" max="12" width="21.287037037037" customWidth="1"/>
    <col min="13" max="13" width="10" customWidth="1"/>
    <col min="14" max="14" width="8.28703703703704" customWidth="1"/>
    <col min="15" max="15" width="13" customWidth="1"/>
  </cols>
  <sheetData>
    <row r="1" ht="17.4" spans="1:12">
      <c r="A1" s="77" t="s">
        <v>35</v>
      </c>
      <c r="B1" s="77"/>
      <c r="C1" s="77"/>
      <c r="D1" s="77"/>
      <c r="E1" s="77"/>
      <c r="F1" s="77"/>
      <c r="G1" s="77"/>
      <c r="H1" s="77"/>
      <c r="I1" s="77"/>
      <c r="J1" s="77"/>
    </row>
    <row r="2" ht="21" spans="1:12">
      <c r="A2" s="78" t="s">
        <v>36</v>
      </c>
      <c r="B2" s="78"/>
      <c r="C2" s="78"/>
      <c r="D2" s="78"/>
      <c r="E2" s="78"/>
      <c r="F2" s="78"/>
      <c r="G2" s="78"/>
      <c r="H2" s="78"/>
      <c r="I2" s="78"/>
      <c r="J2" s="78"/>
      <c r="K2" s="79"/>
      <c r="L2" s="79"/>
    </row>
    <row r="3" ht="21" spans="1:12">
      <c r="A3" s="80" t="s">
        <v>37</v>
      </c>
      <c r="B3" s="80"/>
      <c r="C3" s="80"/>
      <c r="D3" s="80"/>
      <c r="E3" s="80"/>
      <c r="F3" s="80"/>
      <c r="G3" s="80"/>
      <c r="H3" s="80"/>
      <c r="I3" s="80"/>
      <c r="J3" s="80"/>
      <c r="K3" s="79"/>
      <c r="L3" s="79"/>
    </row>
    <row r="4" ht="18" spans="1:12">
      <c r="A4" s="81"/>
      <c r="B4" s="82"/>
      <c r="C4" s="82"/>
      <c r="D4" s="82"/>
      <c r="E4" s="82"/>
    </row>
    <row r="5" ht="15.6" spans="1:12">
      <c r="A5" s="83" t="s">
        <v>38</v>
      </c>
      <c r="G5" s="84"/>
      <c r="H5" s="85"/>
      <c r="I5" s="85"/>
    </row>
    <row r="6" spans="1:12">
      <c r="A6" s="86"/>
      <c r="B6" s="87"/>
      <c r="C6" s="87"/>
      <c r="D6" s="87"/>
      <c r="E6" s="88"/>
      <c r="F6" s="87"/>
      <c r="G6" s="89"/>
      <c r="H6" s="86"/>
      <c r="I6" s="86"/>
      <c r="J6" s="86"/>
      <c r="K6" s="90"/>
    </row>
    <row r="8" ht="15.6" spans="1:12">
      <c r="A8" s="84" t="s">
        <v>39</v>
      </c>
      <c r="B8" s="91"/>
      <c r="C8" s="91"/>
      <c r="D8" s="91"/>
      <c r="E8" s="92"/>
      <c r="F8" s="93"/>
      <c r="G8" s="94"/>
      <c r="H8" s="92"/>
      <c r="I8" s="92"/>
      <c r="J8" s="92"/>
      <c r="K8" s="92"/>
    </row>
    <row r="9" ht="15.6" spans="1:12">
      <c r="A9" s="84"/>
      <c r="B9" s="91"/>
      <c r="C9" s="91"/>
      <c r="D9" s="91"/>
      <c r="E9" s="92"/>
      <c r="F9" s="93"/>
      <c r="G9" s="94"/>
      <c r="H9" s="92"/>
      <c r="I9" s="92"/>
      <c r="J9" s="92"/>
      <c r="K9" s="92"/>
    </row>
    <row r="10" ht="27.6" spans="1:12">
      <c r="A10" s="95" t="s">
        <v>5</v>
      </c>
      <c r="B10" s="96" t="s">
        <v>40</v>
      </c>
      <c r="C10" s="96" t="s">
        <v>7</v>
      </c>
      <c r="D10" s="96" t="s">
        <v>41</v>
      </c>
      <c r="E10" s="96" t="s">
        <v>8</v>
      </c>
      <c r="F10" s="97" t="s">
        <v>10</v>
      </c>
      <c r="G10" s="98" t="s">
        <v>42</v>
      </c>
      <c r="H10" s="96" t="s">
        <v>43</v>
      </c>
      <c r="I10" s="96" t="s">
        <v>44</v>
      </c>
      <c r="J10" s="96" t="s">
        <v>45</v>
      </c>
      <c r="K10" s="96" t="s">
        <v>14</v>
      </c>
    </row>
    <row r="11" ht="15" customHeight="1" spans="1:12">
      <c r="A11" s="99">
        <v>1</v>
      </c>
      <c r="B11" s="100" t="s">
        <v>15</v>
      </c>
      <c r="C11" s="100" t="s">
        <v>16</v>
      </c>
      <c r="D11" s="101" t="s">
        <v>46</v>
      </c>
      <c r="E11" s="102" t="s">
        <v>47</v>
      </c>
      <c r="F11" s="103" t="s">
        <v>48</v>
      </c>
      <c r="G11" s="104" t="s">
        <v>49</v>
      </c>
      <c r="H11" s="99">
        <v>270</v>
      </c>
      <c r="I11" s="99">
        <v>0</v>
      </c>
      <c r="J11" s="99">
        <v>0</v>
      </c>
      <c r="K11" s="105">
        <f>SUM(H11:J14)</f>
        <v>270</v>
      </c>
    </row>
    <row r="12" spans="1:12">
      <c r="A12" s="99"/>
      <c r="B12" s="100"/>
      <c r="C12" s="100"/>
      <c r="D12" s="101"/>
      <c r="E12" s="102"/>
      <c r="F12" s="103"/>
      <c r="G12" s="106"/>
      <c r="H12" s="99"/>
      <c r="I12" s="99"/>
      <c r="J12" s="99"/>
      <c r="K12" s="105"/>
    </row>
    <row r="13" spans="1:12">
      <c r="A13" s="99"/>
      <c r="B13" s="100"/>
      <c r="C13" s="100"/>
      <c r="D13" s="101"/>
      <c r="E13" s="102"/>
      <c r="F13" s="103"/>
      <c r="G13" s="106"/>
      <c r="H13" s="99"/>
      <c r="I13" s="99"/>
      <c r="J13" s="99"/>
      <c r="K13" s="105"/>
    </row>
    <row r="14" spans="1:12">
      <c r="A14" s="99"/>
      <c r="B14" s="100"/>
      <c r="C14" s="100"/>
      <c r="D14" s="101"/>
      <c r="E14" s="102"/>
      <c r="F14" s="103"/>
      <c r="G14" s="107"/>
      <c r="H14" s="99"/>
      <c r="I14" s="99"/>
      <c r="J14" s="99"/>
      <c r="K14" s="105"/>
    </row>
    <row r="15" spans="1:12">
      <c r="A15" s="99"/>
      <c r="B15" s="108"/>
      <c r="C15" s="100"/>
      <c r="D15" s="109"/>
      <c r="E15" s="102"/>
      <c r="F15" s="103"/>
      <c r="G15" s="110" t="s">
        <v>34</v>
      </c>
      <c r="H15" s="95">
        <f>SUM(H11:H14)</f>
        <v>270</v>
      </c>
      <c r="I15" s="95">
        <f>SUM(I11:I14)</f>
        <v>0</v>
      </c>
      <c r="J15" s="95">
        <f>SUM(J11:J14)</f>
        <v>0</v>
      </c>
      <c r="K15" s="111">
        <f>SUM(K11:K14)</f>
        <v>270</v>
      </c>
    </row>
  </sheetData>
  <mergeCells count="14">
    <mergeCell ref="A1:J1"/>
    <mergeCell ref="A2:J2"/>
    <mergeCell ref="A3:J3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K11:K1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topLeftCell="A22" workbookViewId="0">
      <selection activeCell="A35" sqref="A35:E35"/>
    </sheetView>
  </sheetViews>
  <sheetFormatPr defaultColWidth="9" defaultRowHeight="14.4"/>
  <cols>
    <col min="1" max="1" width="4.42592592592593" style="5" customWidth="1"/>
    <col min="2" max="2" width="32.4259259259259" style="1" customWidth="1"/>
    <col min="3" max="3" width="40" style="1" customWidth="1"/>
    <col min="4" max="4" width="19.287037037037" style="1" customWidth="1"/>
    <col min="5" max="5" width="12.4259259259259" style="5" customWidth="1"/>
    <col min="6" max="6" width="11.712962962963" style="5" customWidth="1"/>
    <col min="7" max="16384" width="9.13888888888889" style="5"/>
  </cols>
  <sheetData>
    <row r="1" spans="1:9">
      <c r="A1" s="8" t="s">
        <v>0</v>
      </c>
      <c r="B1" s="8"/>
      <c r="C1" s="8"/>
      <c r="D1" s="8"/>
      <c r="E1" s="8"/>
    </row>
    <row r="2" spans="1:9">
      <c r="A2" s="9" t="s">
        <v>1</v>
      </c>
      <c r="B2" s="9"/>
      <c r="C2" s="9"/>
      <c r="D2" s="9"/>
      <c r="E2" s="9"/>
    </row>
    <row r="3" spans="1:9">
      <c r="A3" s="8" t="s">
        <v>2</v>
      </c>
      <c r="B3" s="8"/>
      <c r="C3" s="8"/>
      <c r="D3" s="8"/>
      <c r="E3" s="8"/>
    </row>
    <row r="4" spans="1:9">
      <c r="A4" s="10"/>
      <c r="B4" s="12"/>
      <c r="C4" s="12"/>
      <c r="D4" s="12"/>
    </row>
    <row r="5" s="1" customFormat="1" spans="1:9">
      <c r="A5" s="13" t="s">
        <v>3</v>
      </c>
      <c r="B5" s="13"/>
      <c r="C5" s="13"/>
      <c r="D5" s="13"/>
      <c r="E5" s="13"/>
    </row>
    <row r="6" spans="1:9">
      <c r="A6" s="2"/>
      <c r="E6" s="2"/>
    </row>
    <row r="7" spans="1:9">
      <c r="A7" s="12"/>
      <c r="E7" s="2"/>
    </row>
    <row r="8" s="2" customFormat="1" spans="1:9">
      <c r="A8" s="15" t="s">
        <v>5</v>
      </c>
      <c r="B8" s="18" t="s">
        <v>50</v>
      </c>
      <c r="C8" s="17" t="s">
        <v>10</v>
      </c>
      <c r="D8" s="18" t="s">
        <v>7</v>
      </c>
      <c r="E8" s="17" t="s">
        <v>51</v>
      </c>
      <c r="F8" s="15" t="s">
        <v>52</v>
      </c>
      <c r="G8" s="15" t="s">
        <v>53</v>
      </c>
      <c r="H8" s="15" t="s">
        <v>54</v>
      </c>
    </row>
    <row r="9" s="3" customFormat="1" ht="15" customHeight="1" spans="1:9">
      <c r="A9" s="23">
        <v>1</v>
      </c>
      <c r="B9" s="24" t="s">
        <v>24</v>
      </c>
      <c r="C9" s="25" t="s">
        <v>55</v>
      </c>
      <c r="D9" s="25" t="s">
        <v>25</v>
      </c>
      <c r="E9" s="26">
        <v>224</v>
      </c>
      <c r="F9" s="26"/>
      <c r="G9" s="26"/>
      <c r="H9" s="26"/>
    </row>
    <row r="10" ht="15" customHeight="1" spans="1:9">
      <c r="A10" s="23"/>
      <c r="B10" s="40" t="s">
        <v>34</v>
      </c>
      <c r="C10" s="28"/>
      <c r="D10" s="28"/>
      <c r="E10" s="69">
        <f>SUM(E9:E9)</f>
        <v>224</v>
      </c>
      <c r="F10" s="38"/>
      <c r="G10" s="38"/>
      <c r="H10" s="38"/>
    </row>
    <row r="11" ht="15" customHeight="1" spans="1:9">
      <c r="A11" s="32"/>
      <c r="B11" s="70"/>
      <c r="C11" s="34"/>
      <c r="D11" s="34"/>
      <c r="E11" s="71"/>
      <c r="F11" s="4"/>
      <c r="G11" s="4"/>
      <c r="H11" s="4"/>
      <c r="I11" s="4"/>
    </row>
    <row r="12" ht="15" customHeight="1" spans="1:9">
      <c r="A12" s="32"/>
      <c r="B12" s="70"/>
      <c r="C12" s="34"/>
      <c r="D12" s="34"/>
      <c r="E12" s="71"/>
      <c r="F12" s="4"/>
      <c r="G12" s="4"/>
      <c r="H12" s="4"/>
      <c r="I12" s="4"/>
    </row>
    <row r="13" ht="15" customHeight="1" spans="1:9">
      <c r="A13" s="32"/>
      <c r="B13" s="70"/>
      <c r="C13" s="34"/>
      <c r="D13" s="34"/>
      <c r="E13" s="71"/>
      <c r="F13" s="4"/>
      <c r="G13" s="4"/>
      <c r="H13" s="4"/>
      <c r="I13" s="4"/>
    </row>
    <row r="14" spans="1:9">
      <c r="A14" s="15" t="s">
        <v>5</v>
      </c>
      <c r="B14" s="18" t="s">
        <v>50</v>
      </c>
      <c r="C14" s="17" t="s">
        <v>10</v>
      </c>
      <c r="D14" s="18" t="s">
        <v>7</v>
      </c>
      <c r="E14" s="17" t="s">
        <v>51</v>
      </c>
      <c r="F14" s="15" t="s">
        <v>52</v>
      </c>
      <c r="G14" s="15" t="s">
        <v>53</v>
      </c>
      <c r="H14" s="15" t="s">
        <v>54</v>
      </c>
    </row>
    <row r="15" ht="15" customHeight="1" spans="1:9">
      <c r="A15" s="23">
        <v>1</v>
      </c>
      <c r="B15" s="24" t="s">
        <v>15</v>
      </c>
      <c r="C15" s="25" t="s">
        <v>55</v>
      </c>
      <c r="D15" s="28" t="s">
        <v>16</v>
      </c>
      <c r="E15" s="38">
        <v>826</v>
      </c>
      <c r="F15" s="38"/>
      <c r="G15" s="38"/>
      <c r="H15" s="38"/>
    </row>
    <row r="16" ht="15" customHeight="1" spans="1:9">
      <c r="A16" s="23"/>
      <c r="B16" s="40" t="s">
        <v>34</v>
      </c>
      <c r="C16" s="28"/>
      <c r="D16" s="28"/>
      <c r="E16" s="69">
        <f>SUM(E15:E15)</f>
        <v>826</v>
      </c>
      <c r="F16" s="38"/>
      <c r="G16" s="38"/>
      <c r="H16" s="38"/>
    </row>
    <row r="17" s="4" customFormat="1" ht="15" customHeight="1" spans="1:8">
      <c r="A17" s="32"/>
      <c r="B17" s="70"/>
      <c r="C17" s="34"/>
      <c r="D17" s="34"/>
      <c r="E17" s="71"/>
    </row>
    <row r="18" s="4" customFormat="1" ht="15" customHeight="1" spans="1:8">
      <c r="A18" s="32"/>
      <c r="B18" s="70"/>
      <c r="C18" s="34"/>
      <c r="D18" s="34"/>
      <c r="E18" s="71"/>
    </row>
    <row r="19" ht="15" customHeight="1" spans="1:8">
      <c r="A19" s="32"/>
      <c r="B19" s="72"/>
      <c r="C19" s="72"/>
      <c r="D19" s="72"/>
      <c r="E19" s="73"/>
      <c r="F19" s="4"/>
      <c r="G19" s="4"/>
      <c r="H19" s="4"/>
    </row>
    <row r="20" spans="1:8">
      <c r="A20" s="15" t="s">
        <v>5</v>
      </c>
      <c r="B20" s="18" t="s">
        <v>50</v>
      </c>
      <c r="C20" s="17" t="s">
        <v>10</v>
      </c>
      <c r="D20" s="18" t="s">
        <v>7</v>
      </c>
      <c r="E20" s="17" t="s">
        <v>51</v>
      </c>
      <c r="F20" s="15" t="s">
        <v>52</v>
      </c>
      <c r="G20" s="15" t="s">
        <v>53</v>
      </c>
      <c r="H20" s="15" t="s">
        <v>54</v>
      </c>
    </row>
    <row r="21" ht="15" customHeight="1" spans="1:8">
      <c r="A21" s="23">
        <v>1</v>
      </c>
      <c r="B21" s="24" t="s">
        <v>21</v>
      </c>
      <c r="C21" s="25" t="s">
        <v>55</v>
      </c>
      <c r="D21" s="28" t="s">
        <v>56</v>
      </c>
      <c r="E21" s="38">
        <v>826</v>
      </c>
      <c r="F21" s="38"/>
      <c r="G21" s="38"/>
      <c r="H21" s="38"/>
    </row>
    <row r="22" ht="15" customHeight="1" spans="1:8">
      <c r="A22" s="23"/>
      <c r="B22" s="40" t="s">
        <v>34</v>
      </c>
      <c r="C22" s="40"/>
      <c r="D22" s="40"/>
      <c r="E22" s="74">
        <f>SUM(E21:E21)</f>
        <v>826</v>
      </c>
      <c r="F22" s="38"/>
      <c r="G22" s="38"/>
      <c r="H22" s="38"/>
    </row>
    <row r="23" ht="15" customHeight="1" spans="1:8">
      <c r="A23" s="23"/>
      <c r="B23" s="28"/>
      <c r="C23" s="28"/>
      <c r="D23" s="28"/>
      <c r="E23" s="38"/>
      <c r="F23" s="38"/>
      <c r="G23" s="38"/>
      <c r="H23" s="38"/>
    </row>
    <row r="24" spans="1:8">
      <c r="A24" s="15" t="s">
        <v>5</v>
      </c>
      <c r="B24" s="18" t="s">
        <v>50</v>
      </c>
      <c r="C24" s="17" t="s">
        <v>10</v>
      </c>
      <c r="D24" s="18" t="s">
        <v>7</v>
      </c>
      <c r="E24" s="17" t="s">
        <v>51</v>
      </c>
      <c r="F24" s="15" t="s">
        <v>52</v>
      </c>
      <c r="G24" s="15" t="s">
        <v>53</v>
      </c>
      <c r="H24" s="15" t="s">
        <v>54</v>
      </c>
    </row>
    <row r="25" spans="1:8">
      <c r="A25" s="23">
        <v>1</v>
      </c>
      <c r="B25" s="24" t="s">
        <v>57</v>
      </c>
      <c r="C25" s="25" t="s">
        <v>55</v>
      </c>
      <c r="D25" s="25" t="s">
        <v>30</v>
      </c>
      <c r="E25" s="42">
        <v>63</v>
      </c>
      <c r="F25" s="38"/>
      <c r="G25" s="38"/>
      <c r="H25" s="38"/>
    </row>
    <row r="26" spans="1:8">
      <c r="A26" s="23">
        <v>2</v>
      </c>
      <c r="B26" s="24" t="s">
        <v>58</v>
      </c>
      <c r="C26" s="25" t="s">
        <v>55</v>
      </c>
      <c r="D26" s="25" t="s">
        <v>30</v>
      </c>
      <c r="E26" s="42">
        <v>63</v>
      </c>
      <c r="F26" s="38"/>
      <c r="G26" s="38"/>
      <c r="H26" s="38"/>
    </row>
    <row r="27" ht="15" customHeight="1" spans="1:8">
      <c r="A27" s="23"/>
      <c r="B27" s="40" t="s">
        <v>34</v>
      </c>
      <c r="C27" s="40"/>
      <c r="D27" s="40"/>
      <c r="E27" s="69">
        <f>SUM(E25:E26)</f>
        <v>126</v>
      </c>
      <c r="F27" s="38"/>
      <c r="G27" s="38"/>
      <c r="H27" s="38"/>
    </row>
    <row r="28" ht="15" customHeight="1" spans="1:8">
      <c r="B28" s="5"/>
      <c r="C28" s="5"/>
      <c r="D28" s="5"/>
    </row>
    <row r="29" ht="15" customHeight="1" spans="1:8">
      <c r="B29" s="5"/>
      <c r="C29" s="5"/>
      <c r="D29" s="5"/>
    </row>
    <row r="30" ht="15" customHeight="1" spans="1:8">
      <c r="B30" s="5"/>
      <c r="C30" s="5"/>
      <c r="D30" s="5"/>
    </row>
    <row r="32" spans="1:8">
      <c r="B32" s="1" t="s">
        <v>59</v>
      </c>
    </row>
    <row r="33" spans="1:13">
      <c r="J33" s="44"/>
      <c r="K33" s="44"/>
      <c r="L33" s="44"/>
      <c r="M33" s="45"/>
    </row>
    <row r="34" spans="1:13">
      <c r="A34" s="15" t="s">
        <v>5</v>
      </c>
      <c r="B34" s="18" t="s">
        <v>50</v>
      </c>
      <c r="C34" s="17" t="s">
        <v>10</v>
      </c>
      <c r="D34" s="18" t="s">
        <v>7</v>
      </c>
      <c r="E34" s="17" t="s">
        <v>51</v>
      </c>
      <c r="F34" s="15" t="s">
        <v>52</v>
      </c>
      <c r="G34" s="15" t="s">
        <v>53</v>
      </c>
      <c r="H34" s="15" t="s">
        <v>54</v>
      </c>
    </row>
    <row r="35" spans="1:13">
      <c r="A35" s="23">
        <v>1</v>
      </c>
      <c r="B35" s="24" t="s">
        <v>15</v>
      </c>
      <c r="C35" s="25" t="s">
        <v>55</v>
      </c>
      <c r="D35" s="28" t="s">
        <v>16</v>
      </c>
      <c r="E35" s="38">
        <v>270</v>
      </c>
      <c r="F35" s="75"/>
      <c r="G35" s="56"/>
      <c r="H35" s="49"/>
      <c r="I35"/>
      <c r="J35"/>
      <c r="K35"/>
      <c r="L35"/>
    </row>
    <row r="36" spans="1:13">
      <c r="A36" s="49"/>
      <c r="B36" s="52" t="s">
        <v>34</v>
      </c>
      <c r="C36" s="51"/>
      <c r="D36" s="51"/>
      <c r="E36" s="52">
        <f>SUM(E35:E35)</f>
        <v>270</v>
      </c>
      <c r="F36" s="75"/>
      <c r="G36" s="56"/>
      <c r="H36" s="49"/>
      <c r="I36"/>
      <c r="J36"/>
      <c r="K36"/>
      <c r="L36"/>
    </row>
    <row r="37" spans="1:13">
      <c r="A37"/>
      <c r="B37" s="39"/>
      <c r="C37" s="39"/>
      <c r="D37" s="39"/>
      <c r="E37" s="39"/>
      <c r="F37" s="76"/>
      <c r="G37" s="61"/>
      <c r="H37"/>
      <c r="I37"/>
      <c r="J37"/>
      <c r="K37"/>
      <c r="L37"/>
    </row>
    <row r="38" spans="1:13">
      <c r="A38"/>
      <c r="B38" s="39"/>
      <c r="C38" s="39"/>
      <c r="D38" s="39"/>
      <c r="E38" s="39"/>
      <c r="F38" s="76"/>
      <c r="G38" s="61"/>
      <c r="H38"/>
      <c r="I38"/>
      <c r="J38"/>
      <c r="K38"/>
      <c r="L38"/>
    </row>
    <row r="39" spans="1:13">
      <c r="A39"/>
      <c r="B39" s="39"/>
      <c r="C39" s="39"/>
      <c r="D39" s="39"/>
      <c r="E39" s="39"/>
      <c r="F39" s="76"/>
      <c r="G39" s="61"/>
      <c r="H39"/>
      <c r="I39"/>
      <c r="J39"/>
      <c r="K39"/>
      <c r="L39"/>
    </row>
    <row r="40" spans="1:13">
      <c r="A40"/>
      <c r="B40" s="39"/>
      <c r="C40" s="39"/>
      <c r="D40" s="39"/>
      <c r="E40" s="39"/>
      <c r="F40" s="76"/>
      <c r="G40" s="61"/>
      <c r="H40"/>
      <c r="I40"/>
      <c r="J40"/>
      <c r="K40"/>
      <c r="L40"/>
    </row>
    <row r="41" spans="1:13">
      <c r="A41"/>
      <c r="B41" s="39"/>
      <c r="C41" s="39"/>
      <c r="D41" s="39"/>
      <c r="E41" s="39"/>
      <c r="F41" s="76"/>
      <c r="G41" s="61"/>
      <c r="H41"/>
      <c r="I41"/>
      <c r="J41"/>
      <c r="K41"/>
      <c r="L41"/>
    </row>
    <row r="42" spans="1:13">
      <c r="A42"/>
      <c r="B42" s="39"/>
      <c r="C42" s="39"/>
      <c r="D42" s="39"/>
      <c r="E42" s="39"/>
      <c r="F42" s="76"/>
      <c r="G42" s="61"/>
      <c r="H42"/>
      <c r="I42"/>
      <c r="J42"/>
      <c r="K42"/>
      <c r="L42"/>
    </row>
    <row r="43" spans="1:13">
      <c r="A43"/>
      <c r="B43" s="39"/>
      <c r="C43" s="39"/>
      <c r="D43" s="39"/>
      <c r="E43" s="39"/>
      <c r="F43" s="76"/>
      <c r="G43" s="61"/>
      <c r="H43"/>
      <c r="I43"/>
      <c r="J43"/>
      <c r="K43"/>
      <c r="L43"/>
    </row>
    <row r="44" spans="1:13">
      <c r="A44"/>
      <c r="B44" s="39"/>
      <c r="C44" s="39"/>
      <c r="D44" s="39"/>
      <c r="E44" s="39"/>
      <c r="F44" s="76"/>
      <c r="G44" s="61"/>
      <c r="H44"/>
      <c r="I44"/>
      <c r="J44"/>
      <c r="K44"/>
      <c r="L44"/>
    </row>
    <row r="45" spans="1:13">
      <c r="A45"/>
      <c r="B45" s="39"/>
      <c r="C45" s="39"/>
      <c r="D45" s="39"/>
      <c r="E45" s="39"/>
      <c r="F45" s="76"/>
      <c r="G45" s="61"/>
      <c r="H45"/>
      <c r="I45"/>
      <c r="J45"/>
      <c r="K45"/>
      <c r="L45"/>
    </row>
    <row r="46" spans="1:13">
      <c r="A46"/>
      <c r="B46" s="39"/>
      <c r="C46" s="39"/>
      <c r="D46" s="39"/>
      <c r="E46" s="39"/>
      <c r="F46" s="76"/>
      <c r="G46" s="61"/>
      <c r="H46"/>
      <c r="I46"/>
      <c r="J46"/>
      <c r="K46"/>
      <c r="L46"/>
    </row>
    <row r="47" spans="1:13">
      <c r="A47"/>
      <c r="B47" s="39"/>
      <c r="C47" s="39"/>
      <c r="D47" s="39"/>
      <c r="E47" s="39"/>
      <c r="F47" s="76"/>
      <c r="G47" s="61"/>
      <c r="H47"/>
      <c r="I47"/>
      <c r="J47"/>
      <c r="K47"/>
      <c r="L47"/>
    </row>
    <row r="48" spans="1:13">
      <c r="A48"/>
      <c r="B48" s="39"/>
      <c r="C48" s="39"/>
      <c r="D48" s="39"/>
      <c r="E48" s="39"/>
      <c r="F48" s="76"/>
      <c r="G48" s="61"/>
      <c r="H48"/>
      <c r="I48"/>
      <c r="J48"/>
      <c r="K48"/>
      <c r="L48"/>
    </row>
    <row r="49" spans="1:12">
      <c r="A49"/>
      <c r="B49" s="39"/>
      <c r="C49" s="39"/>
      <c r="D49" s="39"/>
      <c r="E49" s="39"/>
      <c r="F49" s="76"/>
      <c r="G49" s="61"/>
      <c r="H49"/>
      <c r="I49"/>
      <c r="J49"/>
      <c r="K49"/>
      <c r="L49"/>
    </row>
    <row r="50" spans="1:12">
      <c r="A50"/>
      <c r="B50" s="39"/>
      <c r="C50" s="39"/>
      <c r="D50" s="39"/>
      <c r="E50" s="39"/>
      <c r="F50" s="76"/>
      <c r="G50" s="61"/>
      <c r="H50"/>
      <c r="I50"/>
      <c r="J50"/>
      <c r="K50"/>
      <c r="L50"/>
    </row>
    <row r="51" spans="1:12">
      <c r="A51"/>
      <c r="B51" s="39"/>
      <c r="C51" s="39"/>
      <c r="D51" s="39"/>
      <c r="E51" s="39"/>
      <c r="F51" s="76"/>
      <c r="G51" s="61"/>
      <c r="H51"/>
      <c r="I51"/>
      <c r="J51"/>
      <c r="K51"/>
      <c r="L51"/>
    </row>
    <row r="52" spans="1:12">
      <c r="A52"/>
      <c r="B52" s="39"/>
      <c r="C52" s="39"/>
      <c r="D52" s="39"/>
      <c r="E52" s="39"/>
      <c r="F52" s="76"/>
      <c r="G52" s="61"/>
      <c r="H52"/>
      <c r="I52"/>
      <c r="J52"/>
      <c r="K52"/>
      <c r="L52"/>
    </row>
    <row r="53" spans="1:12">
      <c r="A53"/>
      <c r="B53" s="39"/>
      <c r="C53" s="39"/>
      <c r="D53" s="39"/>
      <c r="E53" s="39"/>
      <c r="F53" s="76"/>
      <c r="G53" s="61"/>
      <c r="H53"/>
      <c r="I53"/>
      <c r="J53"/>
      <c r="K53"/>
      <c r="L53"/>
    </row>
    <row r="54" spans="1:12">
      <c r="A54"/>
      <c r="B54" s="39"/>
      <c r="C54" s="39"/>
      <c r="D54" s="39"/>
      <c r="E54" s="39"/>
      <c r="F54" s="76"/>
      <c r="G54" s="61"/>
      <c r="H54"/>
      <c r="I54"/>
      <c r="J54"/>
      <c r="K54"/>
      <c r="L54"/>
    </row>
    <row r="55" spans="1:12">
      <c r="A55"/>
      <c r="B55" s="39"/>
      <c r="C55" s="39"/>
      <c r="D55" s="39"/>
      <c r="E55" s="39"/>
      <c r="F55" s="76"/>
      <c r="G55" s="61"/>
      <c r="H55"/>
      <c r="I55"/>
      <c r="J55"/>
      <c r="K55"/>
      <c r="L55"/>
    </row>
    <row r="56" spans="1:12">
      <c r="A56"/>
      <c r="B56" s="39"/>
      <c r="C56" s="39"/>
      <c r="D56" s="39"/>
      <c r="E56" s="39"/>
      <c r="F56" s="76"/>
      <c r="G56" s="61"/>
      <c r="H56"/>
      <c r="I56"/>
      <c r="J56"/>
      <c r="K56"/>
      <c r="L56"/>
    </row>
    <row r="57" spans="1:12">
      <c r="A57"/>
      <c r="B57" s="39"/>
      <c r="C57" s="39"/>
      <c r="D57" s="39"/>
      <c r="E57" s="39"/>
      <c r="F57" s="76"/>
      <c r="G57" s="61"/>
      <c r="H57"/>
      <c r="I57"/>
      <c r="J57"/>
      <c r="K57"/>
      <c r="L57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abSelected="1" topLeftCell="A19" workbookViewId="0">
      <selection activeCell="A27" sqref="A27:E27"/>
    </sheetView>
  </sheetViews>
  <sheetFormatPr defaultColWidth="9" defaultRowHeight="14.4"/>
  <cols>
    <col min="1" max="1" width="4.42592592592593" style="5" customWidth="1"/>
    <col min="2" max="2" width="29.4259259259259" style="6" customWidth="1"/>
    <col min="3" max="3" width="37.287037037037" style="1" customWidth="1"/>
    <col min="4" max="4" width="19.287037037037" style="1" customWidth="1"/>
    <col min="5" max="5" width="11.4259259259259" style="7" customWidth="1"/>
    <col min="6" max="6" width="20.1388888888889" style="6" customWidth="1"/>
    <col min="7" max="7" width="19.4259259259259" style="7" customWidth="1"/>
    <col min="8" max="8" width="19.5740740740741" style="1" customWidth="1"/>
    <col min="9" max="9" width="9.13888888888889" style="5"/>
    <col min="11" max="16384" width="9.13888888888889" style="5"/>
  </cols>
  <sheetData>
    <row r="1" spans="1:8">
      <c r="A1" s="8" t="s">
        <v>0</v>
      </c>
      <c r="B1" s="8"/>
      <c r="C1" s="8"/>
      <c r="D1" s="8"/>
      <c r="E1" s="8"/>
    </row>
    <row r="2" spans="1:8">
      <c r="A2" s="9" t="s">
        <v>1</v>
      </c>
      <c r="B2" s="9"/>
      <c r="C2" s="9"/>
      <c r="D2" s="9"/>
      <c r="E2" s="9"/>
    </row>
    <row r="3" spans="1:8">
      <c r="A3" s="8" t="s">
        <v>2</v>
      </c>
      <c r="B3" s="8"/>
      <c r="C3" s="8"/>
      <c r="D3" s="8"/>
      <c r="E3" s="8"/>
    </row>
    <row r="4" spans="1:8">
      <c r="A4" s="10"/>
      <c r="B4" s="11"/>
      <c r="C4" s="12"/>
      <c r="D4" s="12"/>
    </row>
    <row r="5" s="1" customFormat="1" spans="1:8">
      <c r="A5" s="13" t="s">
        <v>3</v>
      </c>
      <c r="B5" s="13"/>
      <c r="C5" s="13"/>
      <c r="D5" s="13"/>
      <c r="E5" s="13"/>
      <c r="F5" s="6"/>
      <c r="G5" s="7"/>
    </row>
    <row r="6" spans="1:8">
      <c r="A6" s="2"/>
      <c r="G6" s="14"/>
    </row>
    <row r="7" spans="1:8">
      <c r="A7" s="12"/>
    </row>
    <row r="8" s="2" customFormat="1" spans="1:8">
      <c r="A8" s="15" t="s">
        <v>5</v>
      </c>
      <c r="B8" s="16" t="s">
        <v>50</v>
      </c>
      <c r="C8" s="17" t="s">
        <v>10</v>
      </c>
      <c r="D8" s="18" t="s">
        <v>7</v>
      </c>
      <c r="E8" s="19" t="s">
        <v>51</v>
      </c>
      <c r="F8" s="20" t="s">
        <v>53</v>
      </c>
      <c r="G8" s="21" t="s">
        <v>52</v>
      </c>
      <c r="H8" s="22" t="s">
        <v>54</v>
      </c>
    </row>
    <row r="9" s="3" customFormat="1" ht="15" customHeight="1" spans="1:8">
      <c r="A9" s="23">
        <v>1</v>
      </c>
      <c r="B9" s="24" t="s">
        <v>24</v>
      </c>
      <c r="C9" s="25" t="s">
        <v>55</v>
      </c>
      <c r="D9" s="25" t="s">
        <v>25</v>
      </c>
      <c r="E9" s="26">
        <v>224</v>
      </c>
      <c r="F9" s="24" t="s">
        <v>60</v>
      </c>
      <c r="G9" s="27">
        <v>50100830330275</v>
      </c>
      <c r="H9" s="27" t="s">
        <v>61</v>
      </c>
    </row>
    <row r="10" ht="15" customHeight="1" spans="1:8">
      <c r="A10" s="23"/>
      <c r="B10" s="20" t="s">
        <v>34</v>
      </c>
      <c r="C10" s="28"/>
      <c r="D10" s="28"/>
      <c r="E10" s="29">
        <f>SUM(E9:E9)</f>
        <v>224</v>
      </c>
      <c r="F10" s="30"/>
      <c r="G10" s="31"/>
      <c r="H10" s="28"/>
    </row>
    <row r="11" ht="15" customHeight="1" spans="1:8">
      <c r="A11" s="32"/>
      <c r="B11" s="33"/>
      <c r="C11" s="34"/>
      <c r="D11" s="34"/>
      <c r="E11" s="35"/>
      <c r="F11" s="36"/>
      <c r="G11" s="37"/>
      <c r="H11" s="34"/>
    </row>
    <row r="12" spans="1:8">
      <c r="A12" s="15" t="s">
        <v>5</v>
      </c>
      <c r="B12" s="16" t="s">
        <v>50</v>
      </c>
      <c r="C12" s="17" t="s">
        <v>10</v>
      </c>
      <c r="D12" s="18" t="s">
        <v>7</v>
      </c>
      <c r="E12" s="19" t="s">
        <v>51</v>
      </c>
      <c r="F12" s="20" t="s">
        <v>53</v>
      </c>
      <c r="G12" s="21" t="s">
        <v>52</v>
      </c>
      <c r="H12" s="22" t="s">
        <v>54</v>
      </c>
    </row>
    <row r="13" ht="15" customHeight="1" spans="1:8">
      <c r="A13" s="23">
        <v>1</v>
      </c>
      <c r="B13" s="24" t="s">
        <v>15</v>
      </c>
      <c r="C13" s="25" t="s">
        <v>55</v>
      </c>
      <c r="D13" s="28" t="s">
        <v>16</v>
      </c>
      <c r="E13" s="38">
        <v>826</v>
      </c>
      <c r="F13" s="39" t="s">
        <v>62</v>
      </c>
      <c r="G13" s="27">
        <v>150610510008592</v>
      </c>
      <c r="H13" s="24" t="s">
        <v>63</v>
      </c>
    </row>
    <row r="14" ht="15" customHeight="1" spans="1:8">
      <c r="A14" s="23"/>
      <c r="B14" s="20" t="s">
        <v>34</v>
      </c>
      <c r="C14" s="28"/>
      <c r="D14" s="28"/>
      <c r="E14" s="29">
        <f>SUM(E13:E13)</f>
        <v>826</v>
      </c>
      <c r="F14" s="30"/>
      <c r="G14" s="31"/>
      <c r="H14" s="28"/>
    </row>
    <row r="15" s="4" customFormat="1" ht="15" customHeight="1" spans="1:8">
      <c r="A15" s="32"/>
      <c r="B15" s="33"/>
      <c r="C15" s="34"/>
      <c r="D15" s="34"/>
      <c r="E15" s="35"/>
      <c r="F15" s="36"/>
      <c r="G15" s="37"/>
      <c r="H15" s="34"/>
    </row>
    <row r="16" spans="1:8">
      <c r="A16" s="15" t="s">
        <v>5</v>
      </c>
      <c r="B16" s="16" t="s">
        <v>50</v>
      </c>
      <c r="C16" s="17" t="s">
        <v>10</v>
      </c>
      <c r="D16" s="18" t="s">
        <v>7</v>
      </c>
      <c r="E16" s="19" t="s">
        <v>51</v>
      </c>
      <c r="F16" s="20" t="s">
        <v>53</v>
      </c>
      <c r="G16" s="21" t="s">
        <v>52</v>
      </c>
      <c r="H16" s="22" t="s">
        <v>54</v>
      </c>
    </row>
    <row r="17" ht="15" customHeight="1" spans="1:12">
      <c r="A17" s="23">
        <v>1</v>
      </c>
      <c r="B17" s="24" t="s">
        <v>21</v>
      </c>
      <c r="C17" s="25" t="s">
        <v>55</v>
      </c>
      <c r="D17" s="28" t="s">
        <v>56</v>
      </c>
      <c r="E17" s="38">
        <v>826</v>
      </c>
      <c r="F17" s="24" t="s">
        <v>64</v>
      </c>
      <c r="G17" s="27">
        <v>60041008856</v>
      </c>
      <c r="H17" s="27" t="s">
        <v>65</v>
      </c>
    </row>
    <row r="18" ht="15" customHeight="1" spans="1:12">
      <c r="A18" s="23"/>
      <c r="B18" s="20" t="s">
        <v>34</v>
      </c>
      <c r="C18" s="40"/>
      <c r="D18" s="40"/>
      <c r="E18" s="41">
        <f>SUM(E17:E17)</f>
        <v>826</v>
      </c>
      <c r="F18" s="30"/>
      <c r="G18" s="31"/>
      <c r="H18" s="28"/>
    </row>
    <row r="19" ht="15" customHeight="1" spans="1:12">
      <c r="A19" s="23"/>
      <c r="B19" s="30"/>
      <c r="C19" s="28"/>
      <c r="D19" s="28"/>
      <c r="E19" s="31"/>
      <c r="F19" s="30"/>
      <c r="G19" s="31"/>
      <c r="H19" s="28"/>
    </row>
    <row r="20" spans="1:12">
      <c r="A20" s="15" t="s">
        <v>5</v>
      </c>
      <c r="B20" s="16" t="s">
        <v>50</v>
      </c>
      <c r="C20" s="17" t="s">
        <v>10</v>
      </c>
      <c r="D20" s="18" t="s">
        <v>7</v>
      </c>
      <c r="E20" s="19" t="s">
        <v>51</v>
      </c>
      <c r="F20" s="20" t="s">
        <v>53</v>
      </c>
      <c r="G20" s="21" t="s">
        <v>52</v>
      </c>
      <c r="H20" s="22" t="s">
        <v>54</v>
      </c>
    </row>
    <row r="21" spans="1:12">
      <c r="A21" s="23">
        <v>1</v>
      </c>
      <c r="B21" s="24" t="s">
        <v>57</v>
      </c>
      <c r="C21" s="25" t="s">
        <v>55</v>
      </c>
      <c r="D21" s="25" t="s">
        <v>30</v>
      </c>
      <c r="E21" s="42">
        <v>63</v>
      </c>
      <c r="F21" s="24" t="s">
        <v>60</v>
      </c>
      <c r="G21" s="43">
        <v>50100285535997</v>
      </c>
      <c r="H21" s="24" t="s">
        <v>66</v>
      </c>
    </row>
    <row r="22" spans="1:12">
      <c r="A22" s="23">
        <v>2</v>
      </c>
      <c r="B22" s="24" t="s">
        <v>58</v>
      </c>
      <c r="C22" s="25" t="s">
        <v>55</v>
      </c>
      <c r="D22" s="25" t="s">
        <v>30</v>
      </c>
      <c r="E22" s="42">
        <v>63</v>
      </c>
      <c r="F22" s="24" t="s">
        <v>60</v>
      </c>
      <c r="G22" s="43">
        <v>50100285535984</v>
      </c>
      <c r="H22" s="24" t="s">
        <v>66</v>
      </c>
    </row>
    <row r="23" ht="15" customHeight="1" spans="1:12">
      <c r="A23" s="23"/>
      <c r="B23" s="20" t="s">
        <v>34</v>
      </c>
      <c r="C23" s="40"/>
      <c r="D23" s="40"/>
      <c r="E23" s="29">
        <f>SUM(E21:E22)</f>
        <v>126</v>
      </c>
      <c r="F23" s="30"/>
      <c r="G23" s="31"/>
      <c r="H23" s="28"/>
    </row>
    <row r="25" spans="1:12">
      <c r="B25" s="6" t="s">
        <v>59</v>
      </c>
      <c r="I25" s="44"/>
      <c r="K25" s="44"/>
      <c r="L25" s="45"/>
    </row>
    <row r="26" spans="1:12">
      <c r="A26" s="15" t="s">
        <v>5</v>
      </c>
      <c r="B26" s="16" t="s">
        <v>50</v>
      </c>
      <c r="C26" s="17" t="s">
        <v>10</v>
      </c>
      <c r="D26" s="18" t="s">
        <v>7</v>
      </c>
      <c r="E26" s="19" t="s">
        <v>51</v>
      </c>
      <c r="F26" s="20" t="s">
        <v>53</v>
      </c>
      <c r="G26" s="21" t="s">
        <v>52</v>
      </c>
      <c r="H26" s="22" t="s">
        <v>54</v>
      </c>
    </row>
    <row r="27" spans="1:12">
      <c r="A27" s="23">
        <v>1</v>
      </c>
      <c r="B27" s="24" t="s">
        <v>15</v>
      </c>
      <c r="C27" s="25" t="s">
        <v>55</v>
      </c>
      <c r="D27" s="28" t="s">
        <v>16</v>
      </c>
      <c r="E27" s="38">
        <v>270</v>
      </c>
      <c r="F27" s="46"/>
      <c r="G27" s="47"/>
      <c r="H27" s="48"/>
      <c r="I27" s="44"/>
      <c r="K27" s="44"/>
      <c r="L27" s="45"/>
    </row>
    <row r="28" spans="1:12">
      <c r="A28" s="49"/>
      <c r="B28" s="50" t="s">
        <v>34</v>
      </c>
      <c r="C28" s="51"/>
      <c r="D28" s="52" t="s">
        <v>34</v>
      </c>
      <c r="E28" s="53">
        <v>270</v>
      </c>
      <c r="F28" s="54"/>
      <c r="G28" s="55"/>
      <c r="H28" s="56"/>
      <c r="I28"/>
      <c r="K28"/>
    </row>
    <row r="29" spans="1:12">
      <c r="A29"/>
      <c r="B29" s="57"/>
      <c r="C29" s="39"/>
      <c r="D29" s="39"/>
      <c r="E29" s="58"/>
      <c r="F29" s="59"/>
      <c r="G29" s="60"/>
      <c r="H29" s="61"/>
      <c r="I29"/>
      <c r="K29"/>
    </row>
    <row r="30" spans="1:12">
      <c r="A30"/>
      <c r="B30" s="57"/>
      <c r="C30" s="39"/>
      <c r="D30" s="62"/>
      <c r="E30" s="58"/>
      <c r="F30" s="59"/>
      <c r="G30" s="60"/>
      <c r="H30" s="61"/>
      <c r="I30"/>
      <c r="K30"/>
    </row>
    <row r="31" spans="1:12">
      <c r="A31"/>
      <c r="B31" s="57"/>
      <c r="C31" s="39" t="s">
        <v>25</v>
      </c>
      <c r="D31" s="63">
        <f>E10</f>
        <v>224</v>
      </c>
      <c r="E31" s="58"/>
      <c r="F31" s="59"/>
      <c r="G31" s="60"/>
      <c r="H31" s="61"/>
      <c r="I31"/>
      <c r="K31"/>
    </row>
    <row r="32" spans="1:12">
      <c r="A32"/>
      <c r="B32" s="57"/>
      <c r="C32" s="39" t="s">
        <v>67</v>
      </c>
      <c r="D32" s="64">
        <f>E18</f>
        <v>826</v>
      </c>
      <c r="E32" s="58"/>
      <c r="F32" s="59"/>
      <c r="G32" s="60"/>
      <c r="H32" s="61"/>
      <c r="I32"/>
      <c r="K32"/>
    </row>
    <row r="33" spans="1:11">
      <c r="A33"/>
      <c r="B33" s="57"/>
      <c r="C33" s="39" t="s">
        <v>16</v>
      </c>
      <c r="D33" s="65">
        <f>E14</f>
        <v>826</v>
      </c>
      <c r="E33" s="58"/>
      <c r="F33" s="59"/>
      <c r="G33" s="60"/>
      <c r="H33" s="61"/>
      <c r="I33"/>
      <c r="K33"/>
    </row>
    <row r="34" spans="1:11">
      <c r="A34"/>
      <c r="B34" s="57"/>
      <c r="C34" s="39" t="s">
        <v>68</v>
      </c>
      <c r="D34" s="65">
        <f>E23</f>
        <v>126</v>
      </c>
      <c r="E34" s="58"/>
      <c r="F34" s="59"/>
      <c r="G34" s="60"/>
      <c r="H34" s="61"/>
      <c r="I34"/>
      <c r="K34"/>
    </row>
    <row r="35" spans="1:11">
      <c r="A35"/>
      <c r="B35" s="57"/>
      <c r="C35" s="39" t="s">
        <v>69</v>
      </c>
      <c r="D35" s="65"/>
      <c r="E35" s="58"/>
      <c r="F35" s="59"/>
      <c r="G35" s="60"/>
      <c r="H35" s="61"/>
      <c r="I35"/>
      <c r="K35"/>
    </row>
    <row r="36" spans="1:11">
      <c r="A36"/>
      <c r="B36" s="57"/>
      <c r="C36" s="39" t="s">
        <v>70</v>
      </c>
      <c r="D36" s="65">
        <f>E28</f>
        <v>270</v>
      </c>
      <c r="E36" s="58"/>
      <c r="F36" s="59"/>
      <c r="G36" s="60"/>
      <c r="H36" s="61"/>
      <c r="I36"/>
      <c r="K36"/>
    </row>
    <row r="37" spans="1:11">
      <c r="A37"/>
      <c r="B37" s="57"/>
      <c r="C37" s="39" t="s">
        <v>34</v>
      </c>
      <c r="D37" s="62">
        <f>SUM(D31:D36)</f>
        <v>2272</v>
      </c>
      <c r="E37" s="58"/>
      <c r="F37" s="59"/>
      <c r="G37" s="60"/>
      <c r="H37" s="61"/>
      <c r="I37"/>
      <c r="K37"/>
    </row>
    <row r="38" spans="1:11">
      <c r="A38"/>
      <c r="B38" s="57"/>
      <c r="C38" s="39"/>
      <c r="D38" s="39"/>
      <c r="E38" s="58"/>
      <c r="F38" s="59"/>
      <c r="G38" s="60"/>
      <c r="H38" s="61"/>
      <c r="I38"/>
      <c r="K38"/>
    </row>
    <row r="39" spans="1:11">
      <c r="A39"/>
      <c r="B39" s="57"/>
      <c r="C39" s="39"/>
      <c r="D39" s="39"/>
      <c r="E39" s="58"/>
      <c r="F39" s="59"/>
      <c r="G39" s="60"/>
      <c r="H39" s="61"/>
      <c r="I39"/>
      <c r="K39"/>
    </row>
    <row r="40" spans="1:11">
      <c r="A40"/>
      <c r="B40" s="57"/>
      <c r="C40" s="39"/>
      <c r="D40" s="62"/>
      <c r="E40" s="58"/>
      <c r="F40" s="59"/>
      <c r="G40" s="60"/>
      <c r="H40" s="61"/>
      <c r="I40"/>
      <c r="K40"/>
    </row>
    <row r="41" spans="1:11">
      <c r="A41"/>
      <c r="B41" s="57"/>
      <c r="C41" s="39"/>
      <c r="D41" s="60"/>
      <c r="E41" s="66"/>
      <c r="F41" s="59"/>
      <c r="G41" s="60"/>
      <c r="H41" s="61"/>
      <c r="I41"/>
      <c r="K41"/>
    </row>
    <row r="42" spans="1:11">
      <c r="A42"/>
      <c r="B42" s="57"/>
      <c r="C42" s="39"/>
      <c r="D42" s="60"/>
      <c r="E42" s="66"/>
      <c r="F42" s="59"/>
      <c r="G42" s="60"/>
      <c r="H42" s="61"/>
      <c r="I42"/>
      <c r="K42"/>
    </row>
    <row r="43" spans="1:11">
      <c r="A43"/>
      <c r="B43" s="57"/>
      <c r="C43" s="39"/>
      <c r="D43" s="60"/>
      <c r="E43" s="66"/>
      <c r="F43" s="59"/>
      <c r="G43" s="60"/>
      <c r="H43" s="61"/>
      <c r="I43"/>
      <c r="K43"/>
    </row>
    <row r="44" spans="1:11">
      <c r="A44"/>
      <c r="B44" s="57"/>
      <c r="C44" s="39"/>
      <c r="D44" s="60"/>
      <c r="E44" s="66"/>
      <c r="F44" s="59"/>
      <c r="G44" s="60"/>
      <c r="H44" s="61"/>
      <c r="I44"/>
      <c r="K44"/>
    </row>
    <row r="45" spans="1:11">
      <c r="A45"/>
      <c r="B45" s="57"/>
      <c r="C45" s="39"/>
      <c r="D45" s="60"/>
      <c r="E45" s="66"/>
      <c r="F45" s="59"/>
      <c r="G45" s="60"/>
      <c r="H45" s="61"/>
      <c r="I45"/>
      <c r="K45"/>
    </row>
    <row r="46" spans="1:11">
      <c r="A46"/>
      <c r="B46" s="57"/>
      <c r="C46" s="39"/>
      <c r="D46" s="60"/>
      <c r="E46" s="66"/>
      <c r="F46" s="59"/>
      <c r="G46" s="60"/>
      <c r="H46" s="61"/>
      <c r="I46"/>
      <c r="K46"/>
    </row>
    <row r="47" spans="1:11">
      <c r="A47"/>
      <c r="B47" s="57"/>
      <c r="C47" s="39"/>
      <c r="D47" s="60"/>
      <c r="E47" s="66"/>
      <c r="F47" s="59"/>
      <c r="G47" s="60"/>
      <c r="H47" s="61"/>
      <c r="I47"/>
      <c r="K47"/>
    </row>
    <row r="48" spans="1:11">
      <c r="A48"/>
      <c r="B48" s="57"/>
      <c r="C48" s="62"/>
      <c r="D48" s="60"/>
      <c r="E48" s="66"/>
      <c r="F48" s="59"/>
      <c r="G48" s="60"/>
      <c r="H48" s="61"/>
      <c r="I48"/>
      <c r="K48"/>
    </row>
    <row r="49" spans="1:11">
      <c r="A49"/>
      <c r="B49" s="57"/>
      <c r="C49" s="39"/>
      <c r="D49" s="39"/>
      <c r="E49" s="58"/>
      <c r="F49" s="59"/>
      <c r="G49" s="60"/>
      <c r="H49" s="61"/>
      <c r="I49"/>
      <c r="K49"/>
    </row>
    <row r="50" spans="1:11">
      <c r="A50"/>
      <c r="B50" s="57"/>
      <c r="C50" s="39"/>
      <c r="D50" s="39"/>
      <c r="E50" s="58"/>
      <c r="F50" s="59"/>
      <c r="G50" s="60"/>
      <c r="H50" s="61"/>
      <c r="I50"/>
      <c r="K50"/>
    </row>
    <row r="51" spans="1:11">
      <c r="E51" s="67"/>
    </row>
    <row r="52" spans="1:11">
      <c r="E52" s="67"/>
    </row>
    <row r="53" spans="1:11">
      <c r="E53" s="67"/>
    </row>
    <row r="54" spans="1:11">
      <c r="E54" s="67"/>
    </row>
    <row r="55" spans="1:11">
      <c r="E55" s="67"/>
    </row>
    <row r="56" spans="1:11">
      <c r="E56" s="67"/>
    </row>
    <row r="57" spans="1:11">
      <c r="E57" s="67"/>
    </row>
    <row r="58" spans="1:11">
      <c r="E58" s="67"/>
    </row>
    <row r="59" spans="1:11">
      <c r="B59" s="5"/>
      <c r="C59" s="5"/>
      <c r="D59" s="5"/>
      <c r="E59" s="67"/>
      <c r="F59" s="68"/>
      <c r="G59" s="5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scale="81" orientation="landscape"/>
  <headerFooter/>
  <rowBreaks count="4" manualBreakCount="4">
    <brk id="10" max="16383" man="1"/>
    <brk id="15" max="16383" man="1"/>
    <brk id="18" max="16383" man="1"/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practical Examiner &amp; staff</vt:lpstr>
      <vt:lpstr>practical examiner TA DA</vt:lpstr>
      <vt:lpstr>commonlist </vt:lpstr>
      <vt:lpstr>bank Details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patil</cp:lastModifiedBy>
  <dcterms:created xsi:type="dcterms:W3CDTF">2015-06-05T18:17:00Z</dcterms:created>
  <dcterms:modified xsi:type="dcterms:W3CDTF">2026-05-02T16:54:21Z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89929C4E980E4D8494959930EA2FD654_12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